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b217b6c39d02860/Escritorio/"/>
    </mc:Choice>
  </mc:AlternateContent>
  <xr:revisionPtr revIDLastSave="101" documentId="8_{406FA367-4DC3-4065-AFE8-6BC5DBAB7CC9}" xr6:coauthVersionLast="47" xr6:coauthVersionMax="47" xr10:uidLastSave="{E64AC921-EF24-4516-B4FF-3A301FFA6DE5}"/>
  <bookViews>
    <workbookView xWindow="-108" yWindow="-108" windowWidth="23256" windowHeight="12456" activeTab="1" xr2:uid="{AF2D0B88-588F-4EB6-B198-61EECF4623F2}"/>
  </bookViews>
  <sheets>
    <sheet name="Hoja1" sheetId="1" r:id="rId1"/>
    <sheet name="Hoja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0" i="1" l="1"/>
  <c r="K11" i="1"/>
  <c r="K7" i="1"/>
  <c r="J8" i="1"/>
  <c r="J9" i="1"/>
  <c r="J10" i="1"/>
  <c r="J11" i="1"/>
  <c r="C7" i="1"/>
  <c r="C8" i="1"/>
  <c r="C9" i="1"/>
  <c r="C10" i="1"/>
  <c r="C11" i="1"/>
  <c r="J7" i="1"/>
  <c r="I8" i="1"/>
  <c r="K8" i="1" s="1"/>
  <c r="I9" i="1"/>
  <c r="K9" i="1" s="1"/>
  <c r="I10" i="1"/>
  <c r="I11" i="1"/>
  <c r="I7" i="1"/>
</calcChain>
</file>

<file path=xl/sharedStrings.xml><?xml version="1.0" encoding="utf-8"?>
<sst xmlns="http://schemas.openxmlformats.org/spreadsheetml/2006/main" count="37" uniqueCount="33">
  <si>
    <t>NOMBRE</t>
  </si>
  <si>
    <t>EDAD</t>
  </si>
  <si>
    <t xml:space="preserve">APLICA CON FUNCION </t>
  </si>
  <si>
    <t>APLICA CON MACROS</t>
  </si>
  <si>
    <t>EXCEL</t>
  </si>
  <si>
    <t xml:space="preserve">ESPAÑOL </t>
  </si>
  <si>
    <t xml:space="preserve">INGLES </t>
  </si>
  <si>
    <t>HISTORIA</t>
  </si>
  <si>
    <t>PROMEDIO CON FORMULA</t>
  </si>
  <si>
    <t xml:space="preserve">PROMEDIO CON FUNCION </t>
  </si>
  <si>
    <t>Carlos</t>
  </si>
  <si>
    <t xml:space="preserve">Ismael </t>
  </si>
  <si>
    <t xml:space="preserve">Eduardo </t>
  </si>
  <si>
    <t xml:space="preserve">Delia </t>
  </si>
  <si>
    <t xml:space="preserve">ESTATUS CON FUNCION </t>
  </si>
  <si>
    <t>ESTATUS CON MACROS</t>
  </si>
  <si>
    <t>Juan</t>
  </si>
  <si>
    <t>MAYOR DE EDAD</t>
  </si>
  <si>
    <t>MENOR DE EDAD</t>
  </si>
  <si>
    <t>EDAD INVÁLIDA</t>
  </si>
  <si>
    <t>Aprobado</t>
  </si>
  <si>
    <t>Aprobado de panzazo</t>
  </si>
  <si>
    <t>Calificación inválida</t>
  </si>
  <si>
    <t>MES</t>
  </si>
  <si>
    <t>DIAS LABORABLES</t>
  </si>
  <si>
    <t>PAGO POR DIA</t>
  </si>
  <si>
    <t>PAGO BASE O PAGO BRUTO</t>
  </si>
  <si>
    <t>IVA TRASLADADO (16%)</t>
  </si>
  <si>
    <t>SUBTOTAL</t>
  </si>
  <si>
    <t>IVA RETENIDO</t>
  </si>
  <si>
    <t>ISR RETENIDO</t>
  </si>
  <si>
    <t xml:space="preserve">PAGO NETO </t>
  </si>
  <si>
    <t>ENERO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</si>
</sst>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 wrapText="1"/>
    </xf>
  </cellXfs>
  <cellStyles count="1">
    <cellStyle name="Normal" xfId="0" builtinId="0"/>
  </cellStyles>
  <dxfs count="6">
    <dxf>
      <font>
        <b/>
        <i val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0F1BF-47DA-41BD-A688-6C4AF9B9651D}">
  <sheetPr codeName="Hoja1"/>
  <dimension ref="A6:L11"/>
  <sheetViews>
    <sheetView topLeftCell="A4" workbookViewId="0">
      <selection activeCell="K14" sqref="K14"/>
    </sheetView>
  </sheetViews>
  <sheetFormatPr baseColWidth="10" defaultRowHeight="14.4" x14ac:dyDescent="0.3"/>
  <cols>
    <col min="3" max="3" width="16.33203125" customWidth="1"/>
    <col min="4" max="4" width="17.21875" customWidth="1"/>
    <col min="5" max="8" width="9.5546875" style="3" customWidth="1"/>
    <col min="11" max="11" width="25.44140625" customWidth="1"/>
    <col min="12" max="12" width="20.21875" customWidth="1"/>
  </cols>
  <sheetData>
    <row r="6" spans="1:12" ht="43.2" x14ac:dyDescent="0.3">
      <c r="A6" s="1" t="s">
        <v>0</v>
      </c>
      <c r="B6" s="1" t="s">
        <v>1</v>
      </c>
      <c r="C6" s="1" t="s">
        <v>2</v>
      </c>
      <c r="D6" s="1" t="s">
        <v>3</v>
      </c>
      <c r="E6" s="2" t="s">
        <v>4</v>
      </c>
      <c r="F6" s="2" t="s">
        <v>5</v>
      </c>
      <c r="G6" s="2" t="s">
        <v>6</v>
      </c>
      <c r="H6" s="2" t="s">
        <v>7</v>
      </c>
      <c r="I6" s="1" t="s">
        <v>8</v>
      </c>
      <c r="J6" s="1" t="s">
        <v>9</v>
      </c>
      <c r="K6" s="1" t="s">
        <v>14</v>
      </c>
      <c r="L6" s="1" t="s">
        <v>15</v>
      </c>
    </row>
    <row r="7" spans="1:12" x14ac:dyDescent="0.3">
      <c r="A7" t="s">
        <v>13</v>
      </c>
      <c r="B7">
        <v>-3</v>
      </c>
      <c r="C7" t="str">
        <f>IF(AND(B7&gt;=18,B7&lt;=110),"MAYOR DE EDAD", IF(AND(B7&gt;=0,B7&lt;18), "MENOR DE EDAD", "EDAD INVÁLIDA"))</f>
        <v>EDAD INVÁLIDA</v>
      </c>
      <c r="D7" t="s">
        <v>19</v>
      </c>
      <c r="E7" s="3">
        <v>8</v>
      </c>
      <c r="F7" s="3">
        <v>9</v>
      </c>
      <c r="G7" s="3">
        <v>7</v>
      </c>
      <c r="H7" s="3">
        <v>10</v>
      </c>
      <c r="I7">
        <f>SUM(E7:H7)/4</f>
        <v>8.5</v>
      </c>
      <c r="J7">
        <f>AVERAGE(E7:H7)</f>
        <v>8.5</v>
      </c>
      <c r="K7" t="str">
        <f>IF(AND(I7&gt;6,I7&lt;=10),"APROBADO",IF(AND(I7&lt;6,I7&gt;0),"REPROBADO",IF(I7=6,"APROBADO DE PANZAZO", "CALIFICACIÓN INVÁLIDA")))</f>
        <v>APROBADO</v>
      </c>
      <c r="L7" t="s">
        <v>20</v>
      </c>
    </row>
    <row r="8" spans="1:12" x14ac:dyDescent="0.3">
      <c r="A8" t="s">
        <v>10</v>
      </c>
      <c r="B8">
        <v>20</v>
      </c>
      <c r="C8" t="str">
        <f t="shared" ref="C8:C11" si="0">IF(AND(B8&gt;=18,B8&lt;=110),"MAYOR DE EDAD", IF(AND(B8&gt;=0,B8&lt;18), "MENOR DE EDAD", "EDAD INVÁLIDA"))</f>
        <v>MAYOR DE EDAD</v>
      </c>
      <c r="D8" t="s">
        <v>17</v>
      </c>
      <c r="E8" s="3">
        <v>10</v>
      </c>
      <c r="F8" s="3">
        <v>20</v>
      </c>
      <c r="G8" s="3">
        <v>30</v>
      </c>
      <c r="H8" s="3">
        <v>10</v>
      </c>
      <c r="I8">
        <f t="shared" ref="I8:I11" si="1">SUM(E8:H8)/4</f>
        <v>17.5</v>
      </c>
      <c r="J8">
        <f t="shared" ref="J8:J11" si="2">AVERAGE(E8:H8)</f>
        <v>17.5</v>
      </c>
      <c r="K8" t="str">
        <f t="shared" ref="K8:K11" si="3">IF(AND(I8&gt;6,I8&lt;=10),"APROBADO",IF(AND(I8&lt;6,I8&gt;0),"REPROBADO",IF(I8=6,"APROBADO DE PANZAZO", "CALIFICACIÓN INVÁLIDA")))</f>
        <v>CALIFICACIÓN INVÁLIDA</v>
      </c>
      <c r="L8" t="s">
        <v>22</v>
      </c>
    </row>
    <row r="9" spans="1:12" x14ac:dyDescent="0.3">
      <c r="A9" t="s">
        <v>11</v>
      </c>
      <c r="B9">
        <v>17</v>
      </c>
      <c r="C9" t="str">
        <f t="shared" si="0"/>
        <v>MENOR DE EDAD</v>
      </c>
      <c r="D9" t="s">
        <v>18</v>
      </c>
      <c r="E9" s="3">
        <v>4</v>
      </c>
      <c r="F9" s="3">
        <v>3</v>
      </c>
      <c r="G9" s="3">
        <v>1</v>
      </c>
      <c r="H9" s="3">
        <v>8</v>
      </c>
      <c r="I9">
        <f t="shared" si="1"/>
        <v>4</v>
      </c>
      <c r="J9">
        <f t="shared" si="2"/>
        <v>4</v>
      </c>
      <c r="K9" t="str">
        <f t="shared" si="3"/>
        <v>REPROBADO</v>
      </c>
      <c r="L9" t="s">
        <v>21</v>
      </c>
    </row>
    <row r="10" spans="1:12" x14ac:dyDescent="0.3">
      <c r="A10" t="s">
        <v>12</v>
      </c>
      <c r="B10">
        <v>-3</v>
      </c>
      <c r="C10" t="str">
        <f t="shared" si="0"/>
        <v>EDAD INVÁLIDA</v>
      </c>
      <c r="D10" t="s">
        <v>19</v>
      </c>
      <c r="E10" s="3">
        <v>6</v>
      </c>
      <c r="F10" s="3">
        <v>6</v>
      </c>
      <c r="G10" s="3">
        <v>6</v>
      </c>
      <c r="H10" s="3">
        <v>6</v>
      </c>
      <c r="I10">
        <f t="shared" si="1"/>
        <v>6</v>
      </c>
      <c r="J10">
        <f t="shared" si="2"/>
        <v>6</v>
      </c>
      <c r="K10" t="str">
        <f t="shared" si="3"/>
        <v>APROBADO DE PANZAZO</v>
      </c>
      <c r="L10" t="s">
        <v>21</v>
      </c>
    </row>
    <row r="11" spans="1:12" x14ac:dyDescent="0.3">
      <c r="A11" t="s">
        <v>16</v>
      </c>
      <c r="B11">
        <v>111</v>
      </c>
      <c r="C11" t="str">
        <f t="shared" si="0"/>
        <v>EDAD INVÁLIDA</v>
      </c>
      <c r="D11" t="s">
        <v>19</v>
      </c>
      <c r="E11" s="3">
        <v>-2</v>
      </c>
      <c r="F11" s="3">
        <v>-1</v>
      </c>
      <c r="G11" s="3">
        <v>0</v>
      </c>
      <c r="H11" s="3">
        <v>-5</v>
      </c>
      <c r="I11">
        <f t="shared" si="1"/>
        <v>-2</v>
      </c>
      <c r="J11">
        <f t="shared" si="2"/>
        <v>-2</v>
      </c>
      <c r="K11" t="str">
        <f t="shared" si="3"/>
        <v>CALIFICACIÓN INVÁLIDA</v>
      </c>
      <c r="L11" t="s">
        <v>22</v>
      </c>
    </row>
  </sheetData>
  <conditionalFormatting sqref="C7:C11">
    <cfRule type="containsText" dxfId="5" priority="6" operator="containsText" text="MAYOR DE EDAD">
      <formula>NOT(ISERROR(SEARCH("MAYOR DE EDAD",C7)))</formula>
    </cfRule>
    <cfRule type="containsText" dxfId="4" priority="5" operator="containsText" text="MENOR DE EDAD">
      <formula>NOT(ISERROR(SEARCH("MENOR DE EDAD",C7)))</formula>
    </cfRule>
    <cfRule type="containsText" dxfId="3" priority="4" operator="containsText" text="EDAD INVÁLIDA">
      <formula>NOT(ISERROR(SEARCH("EDAD INVÁLIDA",C7)))</formula>
    </cfRule>
  </conditionalFormatting>
  <conditionalFormatting sqref="K7:K11">
    <cfRule type="containsText" dxfId="2" priority="3" operator="containsText" text="APROBADO">
      <formula>NOT(ISERROR(SEARCH("APROBADO",K7)))</formula>
    </cfRule>
    <cfRule type="containsText" dxfId="1" priority="2" operator="containsText" text="REPROBADO">
      <formula>NOT(ISERROR(SEARCH("REPROBADO",K7)))</formula>
    </cfRule>
    <cfRule type="containsText" dxfId="0" priority="1" operator="containsText" text="APROBADO DE PANZAZO">
      <formula>NOT(ISERROR(SEARCH("APROBADO DE PANZAZO",K7)))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C5B24-E45A-4D2E-A0B0-9611B2AB6232}">
  <sheetPr codeName="Hoja2"/>
  <dimension ref="B2:J3"/>
  <sheetViews>
    <sheetView tabSelected="1" workbookViewId="0">
      <selection activeCell="A7" sqref="A7"/>
    </sheetView>
  </sheetViews>
  <sheetFormatPr baseColWidth="10" defaultRowHeight="14.4" x14ac:dyDescent="0.3"/>
  <cols>
    <col min="3" max="3" width="12.6640625" customWidth="1"/>
    <col min="5" max="5" width="12.6640625" customWidth="1"/>
    <col min="6" max="6" width="13" customWidth="1"/>
  </cols>
  <sheetData>
    <row r="2" spans="2:10" ht="43.2" x14ac:dyDescent="0.3">
      <c r="B2" s="4" t="s">
        <v>23</v>
      </c>
      <c r="C2" s="4" t="s">
        <v>24</v>
      </c>
      <c r="D2" s="4" t="s">
        <v>25</v>
      </c>
      <c r="E2" s="4" t="s">
        <v>26</v>
      </c>
      <c r="F2" s="4" t="s">
        <v>27</v>
      </c>
      <c r="G2" s="4" t="s">
        <v>28</v>
      </c>
      <c r="H2" s="4" t="s">
        <v>29</v>
      </c>
      <c r="I2" s="4" t="s">
        <v>30</v>
      </c>
      <c r="J2" s="4" t="s">
        <v>31</v>
      </c>
    </row>
    <row r="3" spans="2:10" x14ac:dyDescent="0.3">
      <c r="B3" t="s">
        <v>32</v>
      </c>
      <c r="C3">
        <v>30</v>
      </c>
      <c r="D3">
        <v>250</v>
      </c>
      <c r="E3">
        <v>7500</v>
      </c>
      <c r="F3">
        <v>1200</v>
      </c>
      <c r="G3">
        <v>8700</v>
      </c>
      <c r="H3">
        <v>800</v>
      </c>
      <c r="I3">
        <v>750</v>
      </c>
      <c r="J3">
        <v>7150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Delia Rodríguez</dc:creator>
  <cp:lastModifiedBy>Delia Rodríguez</cp:lastModifiedBy>
  <dcterms:created xsi:type="dcterms:W3CDTF">2023-05-24T00:11:53Z</dcterms:created>
  <dcterms:modified xsi:type="dcterms:W3CDTF">2023-05-25T01:32:27Z</dcterms:modified>
</cp:coreProperties>
</file>